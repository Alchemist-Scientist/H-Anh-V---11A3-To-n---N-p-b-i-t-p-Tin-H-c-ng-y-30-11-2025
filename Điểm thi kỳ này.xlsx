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bookViews>
    <workbookView xWindow="0" yWindow="0" windowWidth="22400" windowHeight="10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G53" i="1"/>
  <c r="F53" i="1"/>
  <c r="E53" i="1"/>
  <c r="D53" i="1"/>
  <c r="C53" i="1"/>
  <c r="L43" i="1"/>
  <c r="L42" i="1"/>
  <c r="L30" i="1"/>
  <c r="L29" i="1"/>
  <c r="L11" i="1"/>
  <c r="L10" i="1"/>
  <c r="K52" i="1"/>
  <c r="K51" i="1"/>
  <c r="L51" i="1" s="1"/>
  <c r="K50" i="1"/>
  <c r="L50" i="1" s="1"/>
  <c r="K49" i="1"/>
  <c r="L49" i="1" s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L35" i="1" s="1"/>
  <c r="K34" i="1"/>
  <c r="L34" i="1" s="1"/>
  <c r="K33" i="1"/>
  <c r="L33" i="1" s="1"/>
  <c r="K32" i="1"/>
  <c r="L32" i="1" s="1"/>
  <c r="K31" i="1"/>
  <c r="L31" i="1" s="1"/>
  <c r="K30" i="1"/>
  <c r="K29" i="1"/>
  <c r="K28" i="1"/>
  <c r="K27" i="1"/>
  <c r="L27" i="1" s="1"/>
  <c r="K26" i="1"/>
  <c r="K25" i="1"/>
  <c r="K24" i="1"/>
  <c r="K23" i="1"/>
  <c r="K22" i="1"/>
  <c r="K21" i="1"/>
  <c r="K20" i="1"/>
  <c r="K19" i="1"/>
  <c r="L19" i="1" s="1"/>
  <c r="K18" i="1"/>
  <c r="L18" i="1" s="1"/>
  <c r="K17" i="1"/>
  <c r="L17" i="1" s="1"/>
  <c r="K16" i="1"/>
  <c r="K15" i="1"/>
  <c r="K14" i="1"/>
  <c r="K13" i="1"/>
  <c r="K12" i="1"/>
  <c r="K11" i="1"/>
  <c r="K10" i="1"/>
  <c r="K9" i="1"/>
  <c r="K8" i="1"/>
  <c r="J52" i="1"/>
  <c r="J51" i="1"/>
  <c r="J50" i="1"/>
  <c r="J49" i="1"/>
  <c r="J48" i="1"/>
  <c r="L48" i="1" s="1"/>
  <c r="J47" i="1"/>
  <c r="L47" i="1" s="1"/>
  <c r="J46" i="1"/>
  <c r="L46" i="1" s="1"/>
  <c r="J45" i="1"/>
  <c r="L45" i="1" s="1"/>
  <c r="J44" i="1"/>
  <c r="L44" i="1" s="1"/>
  <c r="J43" i="1"/>
  <c r="J42" i="1"/>
  <c r="J41" i="1"/>
  <c r="J40" i="1"/>
  <c r="L40" i="1" s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L26" i="1" s="1"/>
  <c r="J25" i="1"/>
  <c r="J24" i="1"/>
  <c r="L24" i="1" s="1"/>
  <c r="J23" i="1"/>
  <c r="J22" i="1"/>
  <c r="J21" i="1"/>
  <c r="J20" i="1"/>
  <c r="J19" i="1"/>
  <c r="J18" i="1"/>
  <c r="J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J10" i="1"/>
  <c r="J9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53" i="1" s="1"/>
  <c r="J8" i="1"/>
  <c r="L36" i="1" l="1"/>
  <c r="L52" i="1"/>
  <c r="L21" i="1"/>
  <c r="L38" i="1"/>
  <c r="K53" i="1"/>
  <c r="L37" i="1"/>
  <c r="L22" i="1"/>
  <c r="L23" i="1"/>
  <c r="L39" i="1"/>
  <c r="L9" i="1"/>
  <c r="L25" i="1"/>
  <c r="L41" i="1"/>
  <c r="J53" i="1"/>
  <c r="M46" i="1" s="1"/>
  <c r="L28" i="1"/>
  <c r="M23" i="1"/>
  <c r="L20" i="1"/>
  <c r="L8" i="1"/>
  <c r="N8" i="1" s="1"/>
  <c r="M39" i="1" l="1"/>
  <c r="M31" i="1"/>
  <c r="M8" i="1"/>
  <c r="M17" i="1"/>
  <c r="M27" i="1"/>
  <c r="M10" i="1"/>
  <c r="M49" i="1"/>
  <c r="M30" i="1"/>
  <c r="M41" i="1"/>
  <c r="M50" i="1"/>
  <c r="M16" i="1"/>
  <c r="M25" i="1"/>
  <c r="M33" i="1"/>
  <c r="M42" i="1"/>
  <c r="M14" i="1"/>
  <c r="M32" i="1"/>
  <c r="M40" i="1"/>
  <c r="M45" i="1"/>
  <c r="M44" i="1"/>
  <c r="M38" i="1"/>
  <c r="M11" i="1"/>
  <c r="M22" i="1"/>
  <c r="M26" i="1"/>
  <c r="M9" i="1"/>
  <c r="M37" i="1"/>
  <c r="M29" i="1"/>
  <c r="M24" i="1"/>
  <c r="M52" i="1"/>
  <c r="M12" i="1"/>
  <c r="M13" i="1"/>
  <c r="M18" i="1"/>
  <c r="M20" i="1"/>
  <c r="M28" i="1"/>
  <c r="M15" i="1"/>
  <c r="M48" i="1"/>
  <c r="M21" i="1"/>
  <c r="M36" i="1"/>
  <c r="M35" i="1"/>
  <c r="M47" i="1"/>
  <c r="M19" i="1"/>
  <c r="M43" i="1"/>
  <c r="M51" i="1"/>
  <c r="M34" i="1"/>
</calcChain>
</file>

<file path=xl/sharedStrings.xml><?xml version="1.0" encoding="utf-8"?>
<sst xmlns="http://schemas.openxmlformats.org/spreadsheetml/2006/main" count="61" uniqueCount="61">
  <si>
    <t>STT</t>
  </si>
  <si>
    <t>HỌ VÀ TÊN</t>
  </si>
  <si>
    <t>TOÁN</t>
  </si>
  <si>
    <t>Min</t>
  </si>
  <si>
    <t>TBC</t>
  </si>
  <si>
    <t xml:space="preserve">XẾP LOẠI </t>
  </si>
  <si>
    <t>XẾP HẠNG</t>
  </si>
  <si>
    <t>Số HSG</t>
  </si>
  <si>
    <t>MAX</t>
  </si>
  <si>
    <t>Hóa</t>
  </si>
  <si>
    <t>Lý</t>
  </si>
  <si>
    <t>Sinh</t>
  </si>
  <si>
    <t>Anh</t>
  </si>
  <si>
    <t>Văn</t>
  </si>
  <si>
    <t>Tổng Điểm</t>
  </si>
  <si>
    <t>Phùng Phạm Bình An</t>
  </si>
  <si>
    <t>Bùi Nguyễn Duy Anh</t>
  </si>
  <si>
    <t>Mạc Duy Anh</t>
  </si>
  <si>
    <t>Nguyễn Mỹ Anh</t>
  </si>
  <si>
    <t>Phạm Nguyễn Mai Anh</t>
  </si>
  <si>
    <t xml:space="preserve">Nguyễn Duy Minh Đức </t>
  </si>
  <si>
    <t>Nguyễn Minh Đức</t>
  </si>
  <si>
    <t>Trần Nguyên Đức</t>
  </si>
  <si>
    <t>Đinh Tiến Dũng</t>
  </si>
  <si>
    <t>Dương Tuấn Dũng</t>
  </si>
  <si>
    <t xml:space="preserve">Nguyễn Quang Dũng </t>
  </si>
  <si>
    <t>Trần Đức Duy</t>
  </si>
  <si>
    <t>Nguyễn Trường Giang</t>
  </si>
  <si>
    <t>Phạm Tiến Hân</t>
  </si>
  <si>
    <t>Trương Minh Hiếu</t>
  </si>
  <si>
    <t>Lê Đức Huy</t>
  </si>
  <si>
    <t>Vũ Lê Khanh</t>
  </si>
  <si>
    <t>Phạm Gia Khoa</t>
  </si>
  <si>
    <t>Lê Thế Kiên</t>
  </si>
  <si>
    <t>Nguyễn Quang Kiệt</t>
  </si>
  <si>
    <t>Nguyễn Tùng Lâm</t>
  </si>
  <si>
    <t>Bùi Bảo Minh</t>
  </si>
  <si>
    <t>Cao Nhật Minh</t>
  </si>
  <si>
    <t>Hoàng Tuấn Minh</t>
  </si>
  <si>
    <t>Lương Bình Minh</t>
  </si>
  <si>
    <t>Ngọ Hoàng Minh</t>
  </si>
  <si>
    <t>Phan Nguyễn Quang Minh</t>
  </si>
  <si>
    <t>Trương Quang Minh</t>
  </si>
  <si>
    <t>Nguyễn Xuân Nam</t>
  </si>
  <si>
    <t>Phạm Khôi Nguyên</t>
  </si>
  <si>
    <t>Trịnh Khôi Nguyên</t>
  </si>
  <si>
    <t>Nguyễn Cảnh Nhân</t>
  </si>
  <si>
    <t>Hoàng Gia Như</t>
  </si>
  <si>
    <t>Vũ Tấn Phát</t>
  </si>
  <si>
    <t>Nguyễn Trí Quân</t>
  </si>
  <si>
    <t>Bùi Đăng Quang</t>
  </si>
  <si>
    <t>Nguyễn Vĩ Thanh Quang</t>
  </si>
  <si>
    <t>Đặng Thái Sơn</t>
  </si>
  <si>
    <t>Bùi Phương Thảo</t>
  </si>
  <si>
    <t>Nguyễn Hữu Trí</t>
  </si>
  <si>
    <t>Tống Việt Trung</t>
  </si>
  <si>
    <t>Nguyễn Vũ Tuấn</t>
  </si>
  <si>
    <t>Đào Đức Vinh</t>
  </si>
  <si>
    <t>Hà Anh Vũ</t>
  </si>
  <si>
    <t>Trần Quang Vũ</t>
  </si>
  <si>
    <t>Điểm Thi Cuối Học Kì I - Lớp 11A3 Toán - Trường THPT KHTN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</si>
</sst>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zoomScale="58" zoomScaleNormal="117" workbookViewId="0">
      <selection activeCell="K35" sqref="K35"/>
    </sheetView>
  </sheetViews>
  <sheetFormatPr defaultRowHeight="14.5" x14ac:dyDescent="0.35"/>
  <cols>
    <col min="2" max="2" width="32.1796875" customWidth="1"/>
    <col min="9" max="9" width="9.7265625" customWidth="1"/>
  </cols>
  <sheetData>
    <row r="1" spans="1:14" x14ac:dyDescent="0.35">
      <c r="A1" s="13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6" spans="1:14" ht="15" thickBot="1" x14ac:dyDescent="0.4"/>
    <row r="7" spans="1:14" ht="15.5" thickTop="1" thickBot="1" x14ac:dyDescent="0.4">
      <c r="A7" s="6" t="s">
        <v>0</v>
      </c>
      <c r="B7" s="6" t="s">
        <v>1</v>
      </c>
      <c r="C7" s="5" t="s">
        <v>2</v>
      </c>
      <c r="D7" s="1" t="s">
        <v>9</v>
      </c>
      <c r="E7" s="1" t="s">
        <v>10</v>
      </c>
      <c r="F7" s="1" t="s">
        <v>11</v>
      </c>
      <c r="G7" s="1" t="s">
        <v>13</v>
      </c>
      <c r="H7" s="1" t="s">
        <v>12</v>
      </c>
      <c r="I7" s="3" t="s">
        <v>14</v>
      </c>
      <c r="J7" s="1" t="s">
        <v>4</v>
      </c>
      <c r="K7" s="2" t="s">
        <v>3</v>
      </c>
      <c r="L7" s="1" t="s">
        <v>5</v>
      </c>
      <c r="M7" s="1" t="s">
        <v>6</v>
      </c>
      <c r="N7" s="2" t="s">
        <v>7</v>
      </c>
    </row>
    <row r="8" spans="1:14" ht="15.5" thickTop="1" thickBot="1" x14ac:dyDescent="0.4">
      <c r="A8" s="6">
        <v>1</v>
      </c>
      <c r="B8" s="7" t="s">
        <v>15</v>
      </c>
      <c r="C8" s="5">
        <v>10</v>
      </c>
      <c r="D8" s="1">
        <v>10</v>
      </c>
      <c r="E8" s="1">
        <v>10</v>
      </c>
      <c r="F8" s="1">
        <v>10</v>
      </c>
      <c r="G8" s="3">
        <v>8.5</v>
      </c>
      <c r="H8" s="3">
        <v>10</v>
      </c>
      <c r="I8" s="3">
        <f>SUM(C8:H8)</f>
        <v>58.5</v>
      </c>
      <c r="J8" s="3">
        <f>AVERAGE(C8:H8)</f>
        <v>9.75</v>
      </c>
      <c r="K8" s="3">
        <f>MIN(C8:H8)</f>
        <v>8.5</v>
      </c>
      <c r="L8" s="1" t="str">
        <f>IF(AND(J8&gt;=8,K8&gt;=6.5),"Giỏi",IF(AND(J8&gt;=6.5,K8&gt;=5),"Khá",IF(AND(J8&gt;=5,K8&gt;=3.5),"Trung Bình","Chưađạt")))</f>
        <v>Giỏi</v>
      </c>
      <c r="M8" s="1">
        <f>RANK(J8,$J$18:$J$53,0)</f>
        <v>1</v>
      </c>
      <c r="N8" s="4">
        <f>COUNTIF($L$8:$L$52,"Giỏi")</f>
        <v>45</v>
      </c>
    </row>
    <row r="9" spans="1:14" ht="15.5" thickTop="1" thickBot="1" x14ac:dyDescent="0.4">
      <c r="A9" s="6">
        <v>2</v>
      </c>
      <c r="B9" s="7" t="s">
        <v>16</v>
      </c>
      <c r="C9" s="5">
        <v>10</v>
      </c>
      <c r="D9" s="1">
        <v>10</v>
      </c>
      <c r="E9" s="1">
        <v>10</v>
      </c>
      <c r="F9" s="1">
        <v>10</v>
      </c>
      <c r="G9" s="3">
        <v>8.5</v>
      </c>
      <c r="H9" s="3">
        <v>10</v>
      </c>
      <c r="I9" s="3">
        <f>SUM(C9:H9)</f>
        <v>58.5</v>
      </c>
      <c r="J9" s="3">
        <f>AVERAGE(C9:H9)</f>
        <v>9.75</v>
      </c>
      <c r="K9" s="3">
        <f t="shared" ref="K9:K52" si="0">MIN(C9:H9)</f>
        <v>8.5</v>
      </c>
      <c r="L9" s="1" t="str">
        <f t="shared" ref="L9:L52" si="1">IF(AND(J9&gt;=8,K9&gt;=6.5),"Giỏi",IF(AND(J9&gt;=6.5,K9&gt;=5),"Khá",IF(AND(J9&gt;=5,K9&gt;=3.5),"Trung Bình","Chưađạt")))</f>
        <v>Giỏi</v>
      </c>
      <c r="M9" s="1">
        <f>RANK(J9,$J$18:$J$53,0)</f>
        <v>1</v>
      </c>
      <c r="N9" s="4"/>
    </row>
    <row r="10" spans="1:14" ht="15.5" thickTop="1" thickBot="1" x14ac:dyDescent="0.4">
      <c r="A10" s="6">
        <v>3</v>
      </c>
      <c r="B10" s="7" t="s">
        <v>17</v>
      </c>
      <c r="C10" s="5">
        <v>10</v>
      </c>
      <c r="D10" s="1">
        <v>10</v>
      </c>
      <c r="E10" s="1">
        <v>10</v>
      </c>
      <c r="F10" s="1">
        <v>10</v>
      </c>
      <c r="G10" s="3">
        <v>8.5</v>
      </c>
      <c r="H10" s="3">
        <v>10</v>
      </c>
      <c r="I10" s="3">
        <f>SUM(C10:H10)</f>
        <v>58.5</v>
      </c>
      <c r="J10" s="3">
        <f>AVERAGE(C10:H10)</f>
        <v>9.75</v>
      </c>
      <c r="K10" s="3">
        <f t="shared" si="0"/>
        <v>8.5</v>
      </c>
      <c r="L10" s="1" t="str">
        <f t="shared" si="1"/>
        <v>Giỏi</v>
      </c>
      <c r="M10" s="1">
        <f>RANK(J10,$J$18:$J$53,0)</f>
        <v>1</v>
      </c>
      <c r="N10" s="4"/>
    </row>
    <row r="11" spans="1:14" ht="15.5" thickTop="1" thickBot="1" x14ac:dyDescent="0.4">
      <c r="A11" s="6">
        <v>4</v>
      </c>
      <c r="B11" s="7" t="s">
        <v>18</v>
      </c>
      <c r="C11" s="5">
        <v>10</v>
      </c>
      <c r="D11" s="1">
        <v>10</v>
      </c>
      <c r="E11" s="1">
        <v>10</v>
      </c>
      <c r="F11" s="1">
        <v>10</v>
      </c>
      <c r="G11" s="3">
        <v>8.5</v>
      </c>
      <c r="H11" s="3">
        <v>10</v>
      </c>
      <c r="I11" s="3">
        <f>SUM(C11:H11)</f>
        <v>58.5</v>
      </c>
      <c r="J11" s="3">
        <f>AVERAGE(C11:H11)</f>
        <v>9.75</v>
      </c>
      <c r="K11" s="3">
        <f t="shared" si="0"/>
        <v>8.5</v>
      </c>
      <c r="L11" s="1" t="str">
        <f t="shared" si="1"/>
        <v>Giỏi</v>
      </c>
      <c r="M11" s="1">
        <f>RANK(J11,$J$18:$J$53,0)</f>
        <v>1</v>
      </c>
      <c r="N11" s="4"/>
    </row>
    <row r="12" spans="1:14" ht="15.5" thickTop="1" thickBot="1" x14ac:dyDescent="0.4">
      <c r="A12" s="6">
        <v>5</v>
      </c>
      <c r="B12" s="7" t="s">
        <v>19</v>
      </c>
      <c r="C12" s="5">
        <v>10</v>
      </c>
      <c r="D12" s="1">
        <v>10</v>
      </c>
      <c r="E12" s="1">
        <v>10</v>
      </c>
      <c r="F12" s="1">
        <v>10</v>
      </c>
      <c r="G12" s="3">
        <v>8.5</v>
      </c>
      <c r="H12" s="3">
        <v>10</v>
      </c>
      <c r="I12" s="3">
        <f>SUM(C12:H12)</f>
        <v>58.5</v>
      </c>
      <c r="J12" s="3">
        <f>AVERAGE(C12:H12)</f>
        <v>9.75</v>
      </c>
      <c r="K12" s="3">
        <f t="shared" si="0"/>
        <v>8.5</v>
      </c>
      <c r="L12" s="1" t="str">
        <f t="shared" si="1"/>
        <v>Giỏi</v>
      </c>
      <c r="M12" s="1">
        <f>RANK(J12,$J$18:$J$53,0)</f>
        <v>1</v>
      </c>
      <c r="N12" s="4"/>
    </row>
    <row r="13" spans="1:14" ht="15.5" thickTop="1" thickBot="1" x14ac:dyDescent="0.4">
      <c r="A13" s="6">
        <v>6</v>
      </c>
      <c r="B13" s="7" t="s">
        <v>20</v>
      </c>
      <c r="C13" s="5">
        <v>10</v>
      </c>
      <c r="D13" s="1">
        <v>10</v>
      </c>
      <c r="E13" s="1">
        <v>10</v>
      </c>
      <c r="F13" s="1">
        <v>10</v>
      </c>
      <c r="G13" s="3">
        <v>8.5</v>
      </c>
      <c r="H13" s="3">
        <v>10</v>
      </c>
      <c r="I13" s="3">
        <f>SUM(C13:H13)</f>
        <v>58.5</v>
      </c>
      <c r="J13" s="3">
        <f>AVERAGE(C13:H13)</f>
        <v>9.75</v>
      </c>
      <c r="K13" s="3">
        <f t="shared" si="0"/>
        <v>8.5</v>
      </c>
      <c r="L13" s="1" t="str">
        <f t="shared" si="1"/>
        <v>Giỏi</v>
      </c>
      <c r="M13" s="1">
        <f>RANK(J13,$J$18:$J$53,0)</f>
        <v>1</v>
      </c>
      <c r="N13" s="4"/>
    </row>
    <row r="14" spans="1:14" ht="15.5" thickTop="1" thickBot="1" x14ac:dyDescent="0.4">
      <c r="A14" s="6">
        <v>7</v>
      </c>
      <c r="B14" s="7" t="s">
        <v>21</v>
      </c>
      <c r="C14" s="5">
        <v>10</v>
      </c>
      <c r="D14" s="1">
        <v>10</v>
      </c>
      <c r="E14" s="1">
        <v>10</v>
      </c>
      <c r="F14" s="1">
        <v>10</v>
      </c>
      <c r="G14" s="3">
        <v>8.5</v>
      </c>
      <c r="H14" s="3">
        <v>10</v>
      </c>
      <c r="I14" s="3">
        <f>SUM(C14:H14)</f>
        <v>58.5</v>
      </c>
      <c r="J14" s="3">
        <f>AVERAGE(C14:H14)</f>
        <v>9.75</v>
      </c>
      <c r="K14" s="3">
        <f t="shared" si="0"/>
        <v>8.5</v>
      </c>
      <c r="L14" s="1" t="str">
        <f t="shared" si="1"/>
        <v>Giỏi</v>
      </c>
      <c r="M14" s="1">
        <f>RANK(J14,$J$18:$J$53,0)</f>
        <v>1</v>
      </c>
      <c r="N14" s="4"/>
    </row>
    <row r="15" spans="1:14" ht="15.5" thickTop="1" thickBot="1" x14ac:dyDescent="0.4">
      <c r="A15" s="6">
        <v>8</v>
      </c>
      <c r="B15" s="7" t="s">
        <v>22</v>
      </c>
      <c r="C15" s="5">
        <v>10</v>
      </c>
      <c r="D15" s="1">
        <v>10</v>
      </c>
      <c r="E15" s="1">
        <v>10</v>
      </c>
      <c r="F15" s="1">
        <v>10</v>
      </c>
      <c r="G15" s="3">
        <v>8.5</v>
      </c>
      <c r="H15" s="3">
        <v>10</v>
      </c>
      <c r="I15" s="3">
        <f>SUM(C15:H15)</f>
        <v>58.5</v>
      </c>
      <c r="J15" s="3">
        <f>AVERAGE(C15:H15)</f>
        <v>9.75</v>
      </c>
      <c r="K15" s="3">
        <f t="shared" si="0"/>
        <v>8.5</v>
      </c>
      <c r="L15" s="1" t="str">
        <f t="shared" si="1"/>
        <v>Giỏi</v>
      </c>
      <c r="M15" s="1">
        <f>RANK(J15,$J$18:$J$53,0)</f>
        <v>1</v>
      </c>
      <c r="N15" s="4"/>
    </row>
    <row r="16" spans="1:14" ht="15.5" thickTop="1" thickBot="1" x14ac:dyDescent="0.4">
      <c r="A16" s="6">
        <v>9</v>
      </c>
      <c r="B16" s="7" t="s">
        <v>23</v>
      </c>
      <c r="C16" s="5">
        <v>10</v>
      </c>
      <c r="D16" s="1">
        <v>10</v>
      </c>
      <c r="E16" s="1">
        <v>10</v>
      </c>
      <c r="F16" s="1">
        <v>10</v>
      </c>
      <c r="G16" s="3">
        <v>8.5</v>
      </c>
      <c r="H16" s="3">
        <v>10</v>
      </c>
      <c r="I16" s="3">
        <f>SUM(C16:H16)</f>
        <v>58.5</v>
      </c>
      <c r="J16" s="3">
        <f>AVERAGE(C16:H16)</f>
        <v>9.75</v>
      </c>
      <c r="K16" s="3">
        <f t="shared" si="0"/>
        <v>8.5</v>
      </c>
      <c r="L16" s="1" t="str">
        <f t="shared" si="1"/>
        <v>Giỏi</v>
      </c>
      <c r="M16" s="1">
        <f>RANK(J16,$J$18:$J$53,0)</f>
        <v>1</v>
      </c>
      <c r="N16" s="4"/>
    </row>
    <row r="17" spans="1:14" ht="15.5" thickTop="1" thickBot="1" x14ac:dyDescent="0.4">
      <c r="A17" s="6">
        <v>10</v>
      </c>
      <c r="B17" s="7" t="s">
        <v>24</v>
      </c>
      <c r="C17" s="5">
        <v>10</v>
      </c>
      <c r="D17" s="1">
        <v>10</v>
      </c>
      <c r="E17" s="1">
        <v>10</v>
      </c>
      <c r="F17" s="1">
        <v>10</v>
      </c>
      <c r="G17" s="3">
        <v>8.5</v>
      </c>
      <c r="H17" s="3">
        <v>10</v>
      </c>
      <c r="I17" s="3">
        <f>SUM(C17:H17)</f>
        <v>58.5</v>
      </c>
      <c r="J17" s="3">
        <f>AVERAGE(C17:H17)</f>
        <v>9.75</v>
      </c>
      <c r="K17" s="3">
        <f t="shared" si="0"/>
        <v>8.5</v>
      </c>
      <c r="L17" s="1" t="str">
        <f t="shared" si="1"/>
        <v>Giỏi</v>
      </c>
      <c r="M17" s="1">
        <f>RANK(J17,$J$18:$J$53,0)</f>
        <v>1</v>
      </c>
      <c r="N17" s="4"/>
    </row>
    <row r="18" spans="1:14" ht="15.5" thickTop="1" thickBot="1" x14ac:dyDescent="0.4">
      <c r="A18" s="8">
        <v>11</v>
      </c>
      <c r="B18" s="7" t="s">
        <v>25</v>
      </c>
      <c r="C18" s="5">
        <v>10</v>
      </c>
      <c r="D18" s="1">
        <v>10</v>
      </c>
      <c r="E18" s="1">
        <v>10</v>
      </c>
      <c r="F18" s="1">
        <v>10</v>
      </c>
      <c r="G18" s="3">
        <v>8.5</v>
      </c>
      <c r="H18" s="3">
        <v>10</v>
      </c>
      <c r="I18" s="3">
        <f>SUM(C18:H18)</f>
        <v>58.5</v>
      </c>
      <c r="J18" s="3">
        <f>AVERAGE(C18:H18)</f>
        <v>9.75</v>
      </c>
      <c r="K18" s="3">
        <f t="shared" si="0"/>
        <v>8.5</v>
      </c>
      <c r="L18" s="1" t="str">
        <f t="shared" si="1"/>
        <v>Giỏi</v>
      </c>
      <c r="M18" s="1">
        <f>RANK(J18,$J$18:$J$53,0)</f>
        <v>1</v>
      </c>
      <c r="N18" s="4"/>
    </row>
    <row r="19" spans="1:14" ht="15.5" thickTop="1" thickBot="1" x14ac:dyDescent="0.4">
      <c r="A19" s="8">
        <v>12</v>
      </c>
      <c r="B19" s="7" t="s">
        <v>26</v>
      </c>
      <c r="C19" s="5">
        <v>10</v>
      </c>
      <c r="D19" s="1">
        <v>10</v>
      </c>
      <c r="E19" s="1">
        <v>10</v>
      </c>
      <c r="F19" s="1">
        <v>10</v>
      </c>
      <c r="G19" s="3">
        <v>8.5</v>
      </c>
      <c r="H19" s="3">
        <v>10</v>
      </c>
      <c r="I19" s="3">
        <f>SUM(C19:H19)</f>
        <v>58.5</v>
      </c>
      <c r="J19" s="3">
        <f>AVERAGE(C19:H19)</f>
        <v>9.75</v>
      </c>
      <c r="K19" s="3">
        <f t="shared" si="0"/>
        <v>8.5</v>
      </c>
      <c r="L19" s="1" t="str">
        <f t="shared" si="1"/>
        <v>Giỏi</v>
      </c>
      <c r="M19" s="1">
        <f>RANK(J19,$J$18:$J$53,0)</f>
        <v>1</v>
      </c>
      <c r="N19" s="4"/>
    </row>
    <row r="20" spans="1:14" ht="15.5" thickTop="1" thickBot="1" x14ac:dyDescent="0.4">
      <c r="A20" s="8">
        <v>13</v>
      </c>
      <c r="B20" s="7" t="s">
        <v>27</v>
      </c>
      <c r="C20" s="5">
        <v>10</v>
      </c>
      <c r="D20" s="1">
        <v>10</v>
      </c>
      <c r="E20" s="1">
        <v>10</v>
      </c>
      <c r="F20" s="1">
        <v>10</v>
      </c>
      <c r="G20" s="3">
        <v>8.5</v>
      </c>
      <c r="H20" s="3">
        <v>10</v>
      </c>
      <c r="I20" s="3">
        <f>SUM(C20:H20)</f>
        <v>58.5</v>
      </c>
      <c r="J20" s="3">
        <f>AVERAGE(C20:H20)</f>
        <v>9.75</v>
      </c>
      <c r="K20" s="3">
        <f t="shared" si="0"/>
        <v>8.5</v>
      </c>
      <c r="L20" s="1" t="str">
        <f t="shared" si="1"/>
        <v>Giỏi</v>
      </c>
      <c r="M20" s="1">
        <f>RANK(J20,$J$18:$J$53,0)</f>
        <v>1</v>
      </c>
      <c r="N20" s="4"/>
    </row>
    <row r="21" spans="1:14" ht="15.5" thickTop="1" thickBot="1" x14ac:dyDescent="0.4">
      <c r="A21" s="8">
        <v>14</v>
      </c>
      <c r="B21" s="7" t="s">
        <v>28</v>
      </c>
      <c r="C21" s="5">
        <v>10</v>
      </c>
      <c r="D21" s="1">
        <v>10</v>
      </c>
      <c r="E21" s="1">
        <v>10</v>
      </c>
      <c r="F21" s="1">
        <v>10</v>
      </c>
      <c r="G21" s="3">
        <v>8.5</v>
      </c>
      <c r="H21" s="3">
        <v>10</v>
      </c>
      <c r="I21" s="3">
        <f>SUM(C21:H21)</f>
        <v>58.5</v>
      </c>
      <c r="J21" s="3">
        <f>AVERAGE(C21:H21)</f>
        <v>9.75</v>
      </c>
      <c r="K21" s="3">
        <f t="shared" si="0"/>
        <v>8.5</v>
      </c>
      <c r="L21" s="1" t="str">
        <f t="shared" si="1"/>
        <v>Giỏi</v>
      </c>
      <c r="M21" s="1">
        <f>RANK(J21,$J$18:$J$53,0)</f>
        <v>1</v>
      </c>
      <c r="N21" s="4"/>
    </row>
    <row r="22" spans="1:14" ht="15.5" thickTop="1" thickBot="1" x14ac:dyDescent="0.4">
      <c r="A22" s="8">
        <v>15</v>
      </c>
      <c r="B22" s="7" t="s">
        <v>29</v>
      </c>
      <c r="C22" s="5">
        <v>10</v>
      </c>
      <c r="D22" s="1">
        <v>10</v>
      </c>
      <c r="E22" s="1">
        <v>10</v>
      </c>
      <c r="F22" s="1">
        <v>10</v>
      </c>
      <c r="G22" s="3">
        <v>8.5</v>
      </c>
      <c r="H22" s="3">
        <v>10</v>
      </c>
      <c r="I22" s="3">
        <f>SUM(C22:H22)</f>
        <v>58.5</v>
      </c>
      <c r="J22" s="3">
        <f>AVERAGE(C22:H22)</f>
        <v>9.75</v>
      </c>
      <c r="K22" s="3">
        <f t="shared" si="0"/>
        <v>8.5</v>
      </c>
      <c r="L22" s="1" t="str">
        <f t="shared" si="1"/>
        <v>Giỏi</v>
      </c>
      <c r="M22" s="1">
        <f>RANK(J22,$J$18:$J$53,0)</f>
        <v>1</v>
      </c>
      <c r="N22" s="4"/>
    </row>
    <row r="23" spans="1:14" ht="15.5" thickTop="1" thickBot="1" x14ac:dyDescent="0.4">
      <c r="A23" s="8">
        <v>16</v>
      </c>
      <c r="B23" s="7" t="s">
        <v>30</v>
      </c>
      <c r="C23" s="5">
        <v>10</v>
      </c>
      <c r="D23" s="1">
        <v>10</v>
      </c>
      <c r="E23" s="1">
        <v>10</v>
      </c>
      <c r="F23" s="1">
        <v>10</v>
      </c>
      <c r="G23" s="3">
        <v>8.5</v>
      </c>
      <c r="H23" s="3">
        <v>10</v>
      </c>
      <c r="I23" s="3">
        <f>SUM(C23:H23)</f>
        <v>58.5</v>
      </c>
      <c r="J23" s="3">
        <f>AVERAGE(C23:H23)</f>
        <v>9.75</v>
      </c>
      <c r="K23" s="3">
        <f t="shared" si="0"/>
        <v>8.5</v>
      </c>
      <c r="L23" s="1" t="str">
        <f t="shared" si="1"/>
        <v>Giỏi</v>
      </c>
      <c r="M23" s="1">
        <f>RANK(J23,$J$18:$J$53,0)</f>
        <v>1</v>
      </c>
      <c r="N23" s="4"/>
    </row>
    <row r="24" spans="1:14" ht="15.5" thickTop="1" thickBot="1" x14ac:dyDescent="0.4">
      <c r="A24" s="8">
        <v>17</v>
      </c>
      <c r="B24" s="7" t="s">
        <v>31</v>
      </c>
      <c r="C24" s="5">
        <v>10</v>
      </c>
      <c r="D24" s="1">
        <v>10</v>
      </c>
      <c r="E24" s="1">
        <v>10</v>
      </c>
      <c r="F24" s="1">
        <v>10</v>
      </c>
      <c r="G24" s="3">
        <v>8.5</v>
      </c>
      <c r="H24" s="3">
        <v>10</v>
      </c>
      <c r="I24" s="3">
        <f>SUM(C24:H24)</f>
        <v>58.5</v>
      </c>
      <c r="J24" s="3">
        <f>AVERAGE(C24:H24)</f>
        <v>9.75</v>
      </c>
      <c r="K24" s="3">
        <f t="shared" si="0"/>
        <v>8.5</v>
      </c>
      <c r="L24" s="1" t="str">
        <f t="shared" si="1"/>
        <v>Giỏi</v>
      </c>
      <c r="M24" s="1">
        <f>RANK(J24,$J$18:$J$53,0)</f>
        <v>1</v>
      </c>
      <c r="N24" s="4"/>
    </row>
    <row r="25" spans="1:14" ht="15.5" thickTop="1" thickBot="1" x14ac:dyDescent="0.4">
      <c r="A25" s="8">
        <v>18</v>
      </c>
      <c r="B25" s="7" t="s">
        <v>32</v>
      </c>
      <c r="C25" s="5">
        <v>10</v>
      </c>
      <c r="D25" s="1">
        <v>10</v>
      </c>
      <c r="E25" s="1">
        <v>10</v>
      </c>
      <c r="F25" s="1">
        <v>10</v>
      </c>
      <c r="G25" s="3">
        <v>8.5</v>
      </c>
      <c r="H25" s="3">
        <v>10</v>
      </c>
      <c r="I25" s="3">
        <f>SUM(C25:H25)</f>
        <v>58.5</v>
      </c>
      <c r="J25" s="3">
        <f>AVERAGE(C25:H25)</f>
        <v>9.75</v>
      </c>
      <c r="K25" s="3">
        <f t="shared" si="0"/>
        <v>8.5</v>
      </c>
      <c r="L25" s="1" t="str">
        <f t="shared" si="1"/>
        <v>Giỏi</v>
      </c>
      <c r="M25" s="1">
        <f>RANK(J25,$J$18:$J$53,0)</f>
        <v>1</v>
      </c>
      <c r="N25" s="4"/>
    </row>
    <row r="26" spans="1:14" ht="15.5" thickTop="1" thickBot="1" x14ac:dyDescent="0.4">
      <c r="A26" s="8">
        <v>19</v>
      </c>
      <c r="B26" s="7" t="s">
        <v>33</v>
      </c>
      <c r="C26" s="5">
        <v>10</v>
      </c>
      <c r="D26" s="1">
        <v>10</v>
      </c>
      <c r="E26" s="1">
        <v>10</v>
      </c>
      <c r="F26" s="1">
        <v>10</v>
      </c>
      <c r="G26" s="3">
        <v>8.5</v>
      </c>
      <c r="H26" s="3">
        <v>10</v>
      </c>
      <c r="I26" s="3">
        <f>SUM(C26:H26)</f>
        <v>58.5</v>
      </c>
      <c r="J26" s="3">
        <f>AVERAGE(C26:H26)</f>
        <v>9.75</v>
      </c>
      <c r="K26" s="3">
        <f t="shared" si="0"/>
        <v>8.5</v>
      </c>
      <c r="L26" s="1" t="str">
        <f t="shared" si="1"/>
        <v>Giỏi</v>
      </c>
      <c r="M26" s="1">
        <f>RANK(J26,$J$18:$J$53,0)</f>
        <v>1</v>
      </c>
      <c r="N26" s="4"/>
    </row>
    <row r="27" spans="1:14" ht="15.5" thickTop="1" thickBot="1" x14ac:dyDescent="0.4">
      <c r="A27" s="8">
        <v>20</v>
      </c>
      <c r="B27" s="7" t="s">
        <v>34</v>
      </c>
      <c r="C27" s="5">
        <v>10</v>
      </c>
      <c r="D27" s="1">
        <v>10</v>
      </c>
      <c r="E27" s="1">
        <v>10</v>
      </c>
      <c r="F27" s="1">
        <v>10</v>
      </c>
      <c r="G27" s="3">
        <v>8.5</v>
      </c>
      <c r="H27" s="3">
        <v>10</v>
      </c>
      <c r="I27" s="3">
        <f>SUM(C27:H27)</f>
        <v>58.5</v>
      </c>
      <c r="J27" s="3">
        <f>AVERAGE(C27:H27)</f>
        <v>9.75</v>
      </c>
      <c r="K27" s="3">
        <f t="shared" si="0"/>
        <v>8.5</v>
      </c>
      <c r="L27" s="1" t="str">
        <f t="shared" si="1"/>
        <v>Giỏi</v>
      </c>
      <c r="M27" s="1">
        <f>RANK(J27,$J$18:$J$53,0)</f>
        <v>1</v>
      </c>
      <c r="N27" s="4"/>
    </row>
    <row r="28" spans="1:14" ht="15.5" thickTop="1" thickBot="1" x14ac:dyDescent="0.4">
      <c r="A28" s="8">
        <v>21</v>
      </c>
      <c r="B28" s="7" t="s">
        <v>35</v>
      </c>
      <c r="C28" s="5">
        <v>10</v>
      </c>
      <c r="D28" s="1">
        <v>10</v>
      </c>
      <c r="E28" s="1">
        <v>10</v>
      </c>
      <c r="F28" s="1">
        <v>10</v>
      </c>
      <c r="G28" s="3">
        <v>8.5</v>
      </c>
      <c r="H28" s="3">
        <v>10</v>
      </c>
      <c r="I28" s="3">
        <f>SUM(C28:H28)</f>
        <v>58.5</v>
      </c>
      <c r="J28" s="3">
        <f>AVERAGE(C28:H28)</f>
        <v>9.75</v>
      </c>
      <c r="K28" s="3">
        <f t="shared" si="0"/>
        <v>8.5</v>
      </c>
      <c r="L28" s="1" t="str">
        <f t="shared" si="1"/>
        <v>Giỏi</v>
      </c>
      <c r="M28" s="1">
        <f>RANK(J28,$J$18:$J$53,0)</f>
        <v>1</v>
      </c>
      <c r="N28" s="4"/>
    </row>
    <row r="29" spans="1:14" ht="15.5" thickTop="1" thickBot="1" x14ac:dyDescent="0.4">
      <c r="A29" s="8">
        <v>22</v>
      </c>
      <c r="B29" s="7" t="s">
        <v>36</v>
      </c>
      <c r="C29" s="5">
        <v>10</v>
      </c>
      <c r="D29" s="1">
        <v>10</v>
      </c>
      <c r="E29" s="1">
        <v>10</v>
      </c>
      <c r="F29" s="1">
        <v>10</v>
      </c>
      <c r="G29" s="3">
        <v>8.5</v>
      </c>
      <c r="H29" s="3">
        <v>10</v>
      </c>
      <c r="I29" s="3">
        <f>SUM(C29:H29)</f>
        <v>58.5</v>
      </c>
      <c r="J29" s="3">
        <f>AVERAGE(C29:H29)</f>
        <v>9.75</v>
      </c>
      <c r="K29" s="3">
        <f t="shared" si="0"/>
        <v>8.5</v>
      </c>
      <c r="L29" s="1" t="str">
        <f t="shared" si="1"/>
        <v>Giỏi</v>
      </c>
      <c r="M29" s="1">
        <f>RANK(J29,$J$18:$J$53,0)</f>
        <v>1</v>
      </c>
      <c r="N29" s="4"/>
    </row>
    <row r="30" spans="1:14" ht="15.5" thickTop="1" thickBot="1" x14ac:dyDescent="0.4">
      <c r="A30" s="8">
        <v>23</v>
      </c>
      <c r="B30" s="7" t="s">
        <v>37</v>
      </c>
      <c r="C30" s="5">
        <v>10</v>
      </c>
      <c r="D30" s="1">
        <v>10</v>
      </c>
      <c r="E30" s="1">
        <v>10</v>
      </c>
      <c r="F30" s="1">
        <v>10</v>
      </c>
      <c r="G30" s="3">
        <v>8.5</v>
      </c>
      <c r="H30" s="3">
        <v>10</v>
      </c>
      <c r="I30" s="3">
        <f>SUM(C30:H30)</f>
        <v>58.5</v>
      </c>
      <c r="J30" s="3">
        <f>AVERAGE(C30:H30)</f>
        <v>9.75</v>
      </c>
      <c r="K30" s="3">
        <f t="shared" si="0"/>
        <v>8.5</v>
      </c>
      <c r="L30" s="1" t="str">
        <f t="shared" si="1"/>
        <v>Giỏi</v>
      </c>
      <c r="M30" s="1">
        <f>RANK(J30,$J$18:$J$53,0)</f>
        <v>1</v>
      </c>
      <c r="N30" s="4"/>
    </row>
    <row r="31" spans="1:14" ht="15.5" thickTop="1" thickBot="1" x14ac:dyDescent="0.4">
      <c r="A31" s="8">
        <v>24</v>
      </c>
      <c r="B31" s="7" t="s">
        <v>38</v>
      </c>
      <c r="C31" s="5">
        <v>10</v>
      </c>
      <c r="D31" s="1">
        <v>10</v>
      </c>
      <c r="E31" s="1">
        <v>10</v>
      </c>
      <c r="F31" s="1">
        <v>10</v>
      </c>
      <c r="G31" s="3">
        <v>8.5</v>
      </c>
      <c r="H31" s="3">
        <v>10</v>
      </c>
      <c r="I31" s="3">
        <f>SUM(C31:H31)</f>
        <v>58.5</v>
      </c>
      <c r="J31" s="3">
        <f>AVERAGE(C31:H31)</f>
        <v>9.75</v>
      </c>
      <c r="K31" s="3">
        <f t="shared" si="0"/>
        <v>8.5</v>
      </c>
      <c r="L31" s="1" t="str">
        <f t="shared" si="1"/>
        <v>Giỏi</v>
      </c>
      <c r="M31" s="1">
        <f>RANK(J31,$J$18:$J$53,0)</f>
        <v>1</v>
      </c>
      <c r="N31" s="4"/>
    </row>
    <row r="32" spans="1:14" ht="15.5" thickTop="1" thickBot="1" x14ac:dyDescent="0.4">
      <c r="A32" s="8">
        <v>25</v>
      </c>
      <c r="B32" s="7" t="s">
        <v>39</v>
      </c>
      <c r="C32" s="5">
        <v>10</v>
      </c>
      <c r="D32" s="1">
        <v>10</v>
      </c>
      <c r="E32" s="1">
        <v>10</v>
      </c>
      <c r="F32" s="1">
        <v>10</v>
      </c>
      <c r="G32" s="3">
        <v>8.5</v>
      </c>
      <c r="H32" s="3">
        <v>10</v>
      </c>
      <c r="I32" s="3">
        <f>SUM(C32:H32)</f>
        <v>58.5</v>
      </c>
      <c r="J32" s="3">
        <f>AVERAGE(C32:H32)</f>
        <v>9.75</v>
      </c>
      <c r="K32" s="3">
        <f t="shared" si="0"/>
        <v>8.5</v>
      </c>
      <c r="L32" s="1" t="str">
        <f t="shared" si="1"/>
        <v>Giỏi</v>
      </c>
      <c r="M32" s="1">
        <f>RANK(J32,$J$18:$J$53,0)</f>
        <v>1</v>
      </c>
      <c r="N32" s="4"/>
    </row>
    <row r="33" spans="1:14" ht="15.5" thickTop="1" thickBot="1" x14ac:dyDescent="0.4">
      <c r="A33" s="8">
        <v>26</v>
      </c>
      <c r="B33" s="7" t="s">
        <v>40</v>
      </c>
      <c r="C33" s="5">
        <v>10</v>
      </c>
      <c r="D33" s="1">
        <v>10</v>
      </c>
      <c r="E33" s="1">
        <v>10</v>
      </c>
      <c r="F33" s="1">
        <v>10</v>
      </c>
      <c r="G33" s="3">
        <v>8.5</v>
      </c>
      <c r="H33" s="3">
        <v>10</v>
      </c>
      <c r="I33" s="3">
        <f>SUM(C33:H33)</f>
        <v>58.5</v>
      </c>
      <c r="J33" s="3">
        <f>AVERAGE(C33:H33)</f>
        <v>9.75</v>
      </c>
      <c r="K33" s="3">
        <f t="shared" si="0"/>
        <v>8.5</v>
      </c>
      <c r="L33" s="1" t="str">
        <f t="shared" si="1"/>
        <v>Giỏi</v>
      </c>
      <c r="M33" s="1">
        <f>RANK(J33,$J$18:$J$53,0)</f>
        <v>1</v>
      </c>
      <c r="N33" s="4"/>
    </row>
    <row r="34" spans="1:14" ht="15.5" thickTop="1" thickBot="1" x14ac:dyDescent="0.4">
      <c r="A34" s="8">
        <v>27</v>
      </c>
      <c r="B34" s="7" t="s">
        <v>41</v>
      </c>
      <c r="C34" s="5">
        <v>10</v>
      </c>
      <c r="D34" s="1">
        <v>10</v>
      </c>
      <c r="E34" s="1">
        <v>10</v>
      </c>
      <c r="F34" s="1">
        <v>10</v>
      </c>
      <c r="G34" s="3">
        <v>8.5</v>
      </c>
      <c r="H34" s="3">
        <v>10</v>
      </c>
      <c r="I34" s="3">
        <f>SUM(C34:H34)</f>
        <v>58.5</v>
      </c>
      <c r="J34" s="3">
        <f>AVERAGE(C34:H34)</f>
        <v>9.75</v>
      </c>
      <c r="K34" s="3">
        <f t="shared" si="0"/>
        <v>8.5</v>
      </c>
      <c r="L34" s="1" t="str">
        <f t="shared" si="1"/>
        <v>Giỏi</v>
      </c>
      <c r="M34" s="1">
        <f>RANK(J34,$J$18:$J$53,0)</f>
        <v>1</v>
      </c>
      <c r="N34" s="4"/>
    </row>
    <row r="35" spans="1:14" ht="15.5" thickTop="1" thickBot="1" x14ac:dyDescent="0.4">
      <c r="A35" s="8">
        <v>28</v>
      </c>
      <c r="B35" s="7" t="s">
        <v>42</v>
      </c>
      <c r="C35" s="5">
        <v>10</v>
      </c>
      <c r="D35" s="1">
        <v>10</v>
      </c>
      <c r="E35" s="1">
        <v>10</v>
      </c>
      <c r="F35" s="1">
        <v>10</v>
      </c>
      <c r="G35" s="3">
        <v>8.5</v>
      </c>
      <c r="H35" s="3">
        <v>10</v>
      </c>
      <c r="I35" s="3">
        <f>SUM(C35:H35)</f>
        <v>58.5</v>
      </c>
      <c r="J35" s="3">
        <f>AVERAGE(C35:H35)</f>
        <v>9.75</v>
      </c>
      <c r="K35" s="3">
        <f t="shared" si="0"/>
        <v>8.5</v>
      </c>
      <c r="L35" s="1" t="str">
        <f t="shared" si="1"/>
        <v>Giỏi</v>
      </c>
      <c r="M35" s="1">
        <f>RANK(J35,$J$18:$J$53,0)</f>
        <v>1</v>
      </c>
      <c r="N35" s="4"/>
    </row>
    <row r="36" spans="1:14" ht="15.5" thickTop="1" thickBot="1" x14ac:dyDescent="0.4">
      <c r="A36" s="8">
        <v>29</v>
      </c>
      <c r="B36" s="7" t="s">
        <v>43</v>
      </c>
      <c r="C36" s="5">
        <v>10</v>
      </c>
      <c r="D36" s="1">
        <v>10</v>
      </c>
      <c r="E36" s="1">
        <v>10</v>
      </c>
      <c r="F36" s="1">
        <v>10</v>
      </c>
      <c r="G36" s="3">
        <v>8.5</v>
      </c>
      <c r="H36" s="3">
        <v>10</v>
      </c>
      <c r="I36" s="3">
        <f>SUM(C36:H36)</f>
        <v>58.5</v>
      </c>
      <c r="J36" s="3">
        <f>AVERAGE(C36:H36)</f>
        <v>9.75</v>
      </c>
      <c r="K36" s="3">
        <f t="shared" si="0"/>
        <v>8.5</v>
      </c>
      <c r="L36" s="1" t="str">
        <f t="shared" si="1"/>
        <v>Giỏi</v>
      </c>
      <c r="M36" s="1">
        <f>RANK(J36,$J$18:$J$53,0)</f>
        <v>1</v>
      </c>
      <c r="N36" s="4"/>
    </row>
    <row r="37" spans="1:14" ht="15.5" thickTop="1" thickBot="1" x14ac:dyDescent="0.4">
      <c r="A37" s="8">
        <v>30</v>
      </c>
      <c r="B37" s="7" t="s">
        <v>44</v>
      </c>
      <c r="C37" s="5">
        <v>10</v>
      </c>
      <c r="D37" s="1">
        <v>10</v>
      </c>
      <c r="E37" s="1">
        <v>10</v>
      </c>
      <c r="F37" s="1">
        <v>10</v>
      </c>
      <c r="G37" s="3">
        <v>8.5</v>
      </c>
      <c r="H37" s="3">
        <v>10</v>
      </c>
      <c r="I37" s="3">
        <f>SUM(C37:H37)</f>
        <v>58.5</v>
      </c>
      <c r="J37" s="3">
        <f>AVERAGE(C37:H37)</f>
        <v>9.75</v>
      </c>
      <c r="K37" s="3">
        <f t="shared" si="0"/>
        <v>8.5</v>
      </c>
      <c r="L37" s="1" t="str">
        <f t="shared" si="1"/>
        <v>Giỏi</v>
      </c>
      <c r="M37" s="1">
        <f>RANK(J37,$J$18:$J$53,0)</f>
        <v>1</v>
      </c>
      <c r="N37" s="4"/>
    </row>
    <row r="38" spans="1:14" ht="15.5" thickTop="1" thickBot="1" x14ac:dyDescent="0.4">
      <c r="A38" s="8">
        <v>31</v>
      </c>
      <c r="B38" s="7" t="s">
        <v>45</v>
      </c>
      <c r="C38" s="5">
        <v>10</v>
      </c>
      <c r="D38" s="1">
        <v>10</v>
      </c>
      <c r="E38" s="1">
        <v>10</v>
      </c>
      <c r="F38" s="1">
        <v>10</v>
      </c>
      <c r="G38" s="3">
        <v>8.5</v>
      </c>
      <c r="H38" s="3">
        <v>10</v>
      </c>
      <c r="I38" s="3">
        <f>SUM(C38:H38)</f>
        <v>58.5</v>
      </c>
      <c r="J38" s="3">
        <f>AVERAGE(C38:H38)</f>
        <v>9.75</v>
      </c>
      <c r="K38" s="3">
        <f t="shared" si="0"/>
        <v>8.5</v>
      </c>
      <c r="L38" s="1" t="str">
        <f t="shared" si="1"/>
        <v>Giỏi</v>
      </c>
      <c r="M38" s="1">
        <f>RANK(J38,$J$18:$J$53,0)</f>
        <v>1</v>
      </c>
      <c r="N38" s="4"/>
    </row>
    <row r="39" spans="1:14" ht="15.5" thickTop="1" thickBot="1" x14ac:dyDescent="0.4">
      <c r="A39" s="8">
        <v>32</v>
      </c>
      <c r="B39" s="7" t="s">
        <v>46</v>
      </c>
      <c r="C39" s="5">
        <v>10</v>
      </c>
      <c r="D39" s="1">
        <v>10</v>
      </c>
      <c r="E39" s="1">
        <v>10</v>
      </c>
      <c r="F39" s="1">
        <v>10</v>
      </c>
      <c r="G39" s="3">
        <v>8.5</v>
      </c>
      <c r="H39" s="3">
        <v>10</v>
      </c>
      <c r="I39" s="3">
        <f>SUM(C39:H39)</f>
        <v>58.5</v>
      </c>
      <c r="J39" s="3">
        <f>AVERAGE(C39:H39)</f>
        <v>9.75</v>
      </c>
      <c r="K39" s="3">
        <f t="shared" si="0"/>
        <v>8.5</v>
      </c>
      <c r="L39" s="1" t="str">
        <f t="shared" si="1"/>
        <v>Giỏi</v>
      </c>
      <c r="M39" s="1">
        <f>RANK(J39,$J$18:$J$53,0)</f>
        <v>1</v>
      </c>
      <c r="N39" s="4"/>
    </row>
    <row r="40" spans="1:14" ht="15.5" thickTop="1" thickBot="1" x14ac:dyDescent="0.4">
      <c r="A40" s="8">
        <v>33</v>
      </c>
      <c r="B40" s="7" t="s">
        <v>47</v>
      </c>
      <c r="C40" s="5">
        <v>10</v>
      </c>
      <c r="D40" s="1">
        <v>10</v>
      </c>
      <c r="E40" s="1">
        <v>10</v>
      </c>
      <c r="F40" s="1">
        <v>10</v>
      </c>
      <c r="G40" s="3">
        <v>8.5</v>
      </c>
      <c r="H40" s="3">
        <v>10</v>
      </c>
      <c r="I40" s="3">
        <f>SUM(C40:H40)</f>
        <v>58.5</v>
      </c>
      <c r="J40" s="3">
        <f>AVERAGE(C40:H40)</f>
        <v>9.75</v>
      </c>
      <c r="K40" s="3">
        <f t="shared" si="0"/>
        <v>8.5</v>
      </c>
      <c r="L40" s="1" t="str">
        <f t="shared" si="1"/>
        <v>Giỏi</v>
      </c>
      <c r="M40" s="1">
        <f>RANK(J40,$J$18:$J$53,0)</f>
        <v>1</v>
      </c>
      <c r="N40" s="4"/>
    </row>
    <row r="41" spans="1:14" ht="15.5" thickTop="1" thickBot="1" x14ac:dyDescent="0.4">
      <c r="A41" s="8">
        <v>34</v>
      </c>
      <c r="B41" s="7" t="s">
        <v>48</v>
      </c>
      <c r="C41" s="5">
        <v>10</v>
      </c>
      <c r="D41" s="1">
        <v>10</v>
      </c>
      <c r="E41" s="1">
        <v>10</v>
      </c>
      <c r="F41" s="1">
        <v>10</v>
      </c>
      <c r="G41" s="3">
        <v>8.5</v>
      </c>
      <c r="H41" s="3">
        <v>10</v>
      </c>
      <c r="I41" s="3">
        <f>SUM(C41:H41)</f>
        <v>58.5</v>
      </c>
      <c r="J41" s="3">
        <f>AVERAGE(C41:H41)</f>
        <v>9.75</v>
      </c>
      <c r="K41" s="3">
        <f t="shared" si="0"/>
        <v>8.5</v>
      </c>
      <c r="L41" s="1" t="str">
        <f t="shared" si="1"/>
        <v>Giỏi</v>
      </c>
      <c r="M41" s="1">
        <f>RANK(J41,$J$18:$J$53,0)</f>
        <v>1</v>
      </c>
      <c r="N41" s="4"/>
    </row>
    <row r="42" spans="1:14" ht="15.5" thickTop="1" thickBot="1" x14ac:dyDescent="0.4">
      <c r="A42" s="8">
        <v>35</v>
      </c>
      <c r="B42" s="7" t="s">
        <v>49</v>
      </c>
      <c r="C42" s="5">
        <v>10</v>
      </c>
      <c r="D42" s="1">
        <v>10</v>
      </c>
      <c r="E42" s="1">
        <v>10</v>
      </c>
      <c r="F42" s="1">
        <v>10</v>
      </c>
      <c r="G42" s="3">
        <v>8.5</v>
      </c>
      <c r="H42" s="3">
        <v>10</v>
      </c>
      <c r="I42" s="3">
        <f>SUM(C42:H42)</f>
        <v>58.5</v>
      </c>
      <c r="J42" s="3">
        <f>AVERAGE(C42:H42)</f>
        <v>9.75</v>
      </c>
      <c r="K42" s="3">
        <f t="shared" si="0"/>
        <v>8.5</v>
      </c>
      <c r="L42" s="1" t="str">
        <f t="shared" si="1"/>
        <v>Giỏi</v>
      </c>
      <c r="M42" s="1">
        <f>RANK(J42,$J$18:$J$53,0)</f>
        <v>1</v>
      </c>
      <c r="N42" s="4"/>
    </row>
    <row r="43" spans="1:14" ht="15.5" thickTop="1" thickBot="1" x14ac:dyDescent="0.4">
      <c r="A43" s="8">
        <v>36</v>
      </c>
      <c r="B43" s="7" t="s">
        <v>50</v>
      </c>
      <c r="C43" s="5">
        <v>10</v>
      </c>
      <c r="D43" s="1">
        <v>10</v>
      </c>
      <c r="E43" s="1">
        <v>10</v>
      </c>
      <c r="F43" s="1">
        <v>10</v>
      </c>
      <c r="G43" s="3">
        <v>8.5</v>
      </c>
      <c r="H43" s="3">
        <v>10</v>
      </c>
      <c r="I43" s="3">
        <f>SUM(C43:H43)</f>
        <v>58.5</v>
      </c>
      <c r="J43" s="3">
        <f>AVERAGE(C43:H43)</f>
        <v>9.75</v>
      </c>
      <c r="K43" s="3">
        <f t="shared" si="0"/>
        <v>8.5</v>
      </c>
      <c r="L43" s="1" t="str">
        <f t="shared" si="1"/>
        <v>Giỏi</v>
      </c>
      <c r="M43" s="1">
        <f>RANK(J43,$J$18:$J$53,0)</f>
        <v>1</v>
      </c>
      <c r="N43" s="4"/>
    </row>
    <row r="44" spans="1:14" ht="15.5" thickTop="1" thickBot="1" x14ac:dyDescent="0.4">
      <c r="A44" s="8">
        <v>37</v>
      </c>
      <c r="B44" s="7" t="s">
        <v>51</v>
      </c>
      <c r="C44" s="5">
        <v>10</v>
      </c>
      <c r="D44" s="1">
        <v>10</v>
      </c>
      <c r="E44" s="1">
        <v>10</v>
      </c>
      <c r="F44" s="1">
        <v>10</v>
      </c>
      <c r="G44" s="3">
        <v>8.5</v>
      </c>
      <c r="H44" s="3">
        <v>10</v>
      </c>
      <c r="I44" s="3">
        <f>SUM(C44:H44)</f>
        <v>58.5</v>
      </c>
      <c r="J44" s="3">
        <f>AVERAGE(C44:H44)</f>
        <v>9.75</v>
      </c>
      <c r="K44" s="3">
        <f t="shared" si="0"/>
        <v>8.5</v>
      </c>
      <c r="L44" s="1" t="str">
        <f t="shared" si="1"/>
        <v>Giỏi</v>
      </c>
      <c r="M44" s="1">
        <f>RANK(J44,$J$18:$J$53,0)</f>
        <v>1</v>
      </c>
      <c r="N44" s="4"/>
    </row>
    <row r="45" spans="1:14" ht="15.5" thickTop="1" thickBot="1" x14ac:dyDescent="0.4">
      <c r="A45" s="8">
        <v>38</v>
      </c>
      <c r="B45" s="7" t="s">
        <v>52</v>
      </c>
      <c r="C45" s="5">
        <v>10</v>
      </c>
      <c r="D45" s="1">
        <v>10</v>
      </c>
      <c r="E45" s="1">
        <v>10</v>
      </c>
      <c r="F45" s="1">
        <v>10</v>
      </c>
      <c r="G45" s="3">
        <v>8.5</v>
      </c>
      <c r="H45" s="3">
        <v>10</v>
      </c>
      <c r="I45" s="3">
        <f>SUM(C45:H45)</f>
        <v>58.5</v>
      </c>
      <c r="J45" s="3">
        <f>AVERAGE(C45:H45)</f>
        <v>9.75</v>
      </c>
      <c r="K45" s="3">
        <f t="shared" si="0"/>
        <v>8.5</v>
      </c>
      <c r="L45" s="1" t="str">
        <f t="shared" si="1"/>
        <v>Giỏi</v>
      </c>
      <c r="M45" s="1">
        <f>RANK(J45,$J$18:$J$53,0)</f>
        <v>1</v>
      </c>
      <c r="N45" s="4"/>
    </row>
    <row r="46" spans="1:14" ht="15.5" thickTop="1" thickBot="1" x14ac:dyDescent="0.4">
      <c r="A46" s="8">
        <v>39</v>
      </c>
      <c r="B46" s="7" t="s">
        <v>53</v>
      </c>
      <c r="C46" s="5">
        <v>10</v>
      </c>
      <c r="D46" s="1">
        <v>10</v>
      </c>
      <c r="E46" s="1">
        <v>10</v>
      </c>
      <c r="F46" s="1">
        <v>10</v>
      </c>
      <c r="G46" s="3">
        <v>8.5</v>
      </c>
      <c r="H46" s="3">
        <v>10</v>
      </c>
      <c r="I46" s="3">
        <f>SUM(C46:H46)</f>
        <v>58.5</v>
      </c>
      <c r="J46" s="3">
        <f>AVERAGE(C46:H46)</f>
        <v>9.75</v>
      </c>
      <c r="K46" s="3">
        <f t="shared" si="0"/>
        <v>8.5</v>
      </c>
      <c r="L46" s="1" t="str">
        <f t="shared" si="1"/>
        <v>Giỏi</v>
      </c>
      <c r="M46" s="1">
        <f>RANK(J46,$J$18:$J$53,0)</f>
        <v>1</v>
      </c>
      <c r="N46" s="4"/>
    </row>
    <row r="47" spans="1:14" ht="15.5" thickTop="1" thickBot="1" x14ac:dyDescent="0.4">
      <c r="A47" s="8">
        <v>40</v>
      </c>
      <c r="B47" s="7" t="s">
        <v>54</v>
      </c>
      <c r="C47" s="5">
        <v>10</v>
      </c>
      <c r="D47" s="1">
        <v>10</v>
      </c>
      <c r="E47" s="1">
        <v>10</v>
      </c>
      <c r="F47" s="1">
        <v>10</v>
      </c>
      <c r="G47" s="3">
        <v>8.5</v>
      </c>
      <c r="H47" s="3">
        <v>10</v>
      </c>
      <c r="I47" s="3">
        <f>SUM(C47:H47)</f>
        <v>58.5</v>
      </c>
      <c r="J47" s="3">
        <f>AVERAGE(C47:H47)</f>
        <v>9.75</v>
      </c>
      <c r="K47" s="3">
        <f t="shared" si="0"/>
        <v>8.5</v>
      </c>
      <c r="L47" s="1" t="str">
        <f t="shared" si="1"/>
        <v>Giỏi</v>
      </c>
      <c r="M47" s="1">
        <f>RANK(J47,$J$18:$J$53,0)</f>
        <v>1</v>
      </c>
      <c r="N47" s="4"/>
    </row>
    <row r="48" spans="1:14" ht="15.5" thickTop="1" thickBot="1" x14ac:dyDescent="0.4">
      <c r="A48" s="8">
        <v>41</v>
      </c>
      <c r="B48" s="7" t="s">
        <v>55</v>
      </c>
      <c r="C48" s="5">
        <v>10</v>
      </c>
      <c r="D48" s="1">
        <v>10</v>
      </c>
      <c r="E48" s="1">
        <v>10</v>
      </c>
      <c r="F48" s="1">
        <v>10</v>
      </c>
      <c r="G48" s="3">
        <v>8.5</v>
      </c>
      <c r="H48" s="3">
        <v>10</v>
      </c>
      <c r="I48" s="3">
        <f>SUM(C48:H48)</f>
        <v>58.5</v>
      </c>
      <c r="J48" s="3">
        <f>AVERAGE(C48:H48)</f>
        <v>9.75</v>
      </c>
      <c r="K48" s="3">
        <f t="shared" si="0"/>
        <v>8.5</v>
      </c>
      <c r="L48" s="1" t="str">
        <f t="shared" si="1"/>
        <v>Giỏi</v>
      </c>
      <c r="M48" s="1">
        <f>RANK(J48,$J$18:$J$53,0)</f>
        <v>1</v>
      </c>
      <c r="N48" s="4"/>
    </row>
    <row r="49" spans="1:14" ht="15.5" thickTop="1" thickBot="1" x14ac:dyDescent="0.4">
      <c r="A49" s="8">
        <v>42</v>
      </c>
      <c r="B49" s="7" t="s">
        <v>56</v>
      </c>
      <c r="C49" s="5">
        <v>10</v>
      </c>
      <c r="D49" s="1">
        <v>10</v>
      </c>
      <c r="E49" s="1">
        <v>10</v>
      </c>
      <c r="F49" s="1">
        <v>10</v>
      </c>
      <c r="G49" s="3">
        <v>8.5</v>
      </c>
      <c r="H49" s="3">
        <v>10</v>
      </c>
      <c r="I49" s="3">
        <f>SUM(C49:H49)</f>
        <v>58.5</v>
      </c>
      <c r="J49" s="3">
        <f>AVERAGE(C49:H49)</f>
        <v>9.75</v>
      </c>
      <c r="K49" s="3">
        <f t="shared" si="0"/>
        <v>8.5</v>
      </c>
      <c r="L49" s="1" t="str">
        <f t="shared" si="1"/>
        <v>Giỏi</v>
      </c>
      <c r="M49" s="1">
        <f>RANK(J49,$J$18:$J$53,0)</f>
        <v>1</v>
      </c>
      <c r="N49" s="4"/>
    </row>
    <row r="50" spans="1:14" ht="15.5" thickTop="1" thickBot="1" x14ac:dyDescent="0.4">
      <c r="A50" s="8">
        <v>43</v>
      </c>
      <c r="B50" s="7" t="s">
        <v>57</v>
      </c>
      <c r="C50" s="5">
        <v>10</v>
      </c>
      <c r="D50" s="1">
        <v>10</v>
      </c>
      <c r="E50" s="1">
        <v>10</v>
      </c>
      <c r="F50" s="1">
        <v>10</v>
      </c>
      <c r="G50" s="3">
        <v>8.5</v>
      </c>
      <c r="H50" s="3">
        <v>10</v>
      </c>
      <c r="I50" s="3">
        <f>SUM(C50:H50)</f>
        <v>58.5</v>
      </c>
      <c r="J50" s="3">
        <f>AVERAGE(C50:H50)</f>
        <v>9.75</v>
      </c>
      <c r="K50" s="3">
        <f t="shared" si="0"/>
        <v>8.5</v>
      </c>
      <c r="L50" s="1" t="str">
        <f t="shared" si="1"/>
        <v>Giỏi</v>
      </c>
      <c r="M50" s="1">
        <f>RANK(J50,$J$18:$J$53,0)</f>
        <v>1</v>
      </c>
      <c r="N50" s="4"/>
    </row>
    <row r="51" spans="1:14" ht="15.5" thickTop="1" thickBot="1" x14ac:dyDescent="0.4">
      <c r="A51" s="8">
        <v>44</v>
      </c>
      <c r="B51" s="7" t="s">
        <v>58</v>
      </c>
      <c r="C51" s="5">
        <v>10</v>
      </c>
      <c r="D51" s="1">
        <v>10</v>
      </c>
      <c r="E51" s="1">
        <v>10</v>
      </c>
      <c r="F51" s="1">
        <v>10</v>
      </c>
      <c r="G51" s="3">
        <v>8.5</v>
      </c>
      <c r="H51" s="3">
        <v>10</v>
      </c>
      <c r="I51" s="3">
        <f>SUM(C51:H51)</f>
        <v>58.5</v>
      </c>
      <c r="J51" s="3">
        <f>AVERAGE(C51:H51)</f>
        <v>9.75</v>
      </c>
      <c r="K51" s="3">
        <f t="shared" si="0"/>
        <v>8.5</v>
      </c>
      <c r="L51" s="1" t="str">
        <f t="shared" si="1"/>
        <v>Giỏi</v>
      </c>
      <c r="M51" s="1">
        <f>RANK(J51,$J$18:$J$53,0)</f>
        <v>1</v>
      </c>
      <c r="N51" s="4"/>
    </row>
    <row r="52" spans="1:14" ht="15.5" thickTop="1" thickBot="1" x14ac:dyDescent="0.4">
      <c r="A52" s="8">
        <v>45</v>
      </c>
      <c r="B52" s="7" t="s">
        <v>59</v>
      </c>
      <c r="C52" s="5">
        <v>10</v>
      </c>
      <c r="D52" s="1">
        <v>10</v>
      </c>
      <c r="E52" s="1">
        <v>10</v>
      </c>
      <c r="F52" s="1">
        <v>10</v>
      </c>
      <c r="G52" s="3">
        <v>8.5</v>
      </c>
      <c r="H52" s="3">
        <v>10</v>
      </c>
      <c r="I52" s="3">
        <f>SUM(C52:H52)</f>
        <v>58.5</v>
      </c>
      <c r="J52" s="3">
        <f>AVERAGE(C52:H52)</f>
        <v>9.75</v>
      </c>
      <c r="K52" s="3">
        <f t="shared" si="0"/>
        <v>8.5</v>
      </c>
      <c r="L52" s="1" t="str">
        <f t="shared" si="1"/>
        <v>Giỏi</v>
      </c>
      <c r="M52" s="1">
        <f>RANK(J52,$J$18:$J$53,0)</f>
        <v>1</v>
      </c>
      <c r="N52" s="4"/>
    </row>
    <row r="53" spans="1:14" ht="15.5" thickTop="1" thickBot="1" x14ac:dyDescent="0.4">
      <c r="A53" s="9" t="s">
        <v>8</v>
      </c>
      <c r="B53" s="11"/>
      <c r="C53" s="10">
        <f>MAX(C$8:C$52)</f>
        <v>10</v>
      </c>
      <c r="D53" s="10">
        <f>MAX(D$8:D$52)</f>
        <v>10</v>
      </c>
      <c r="E53" s="10">
        <f>MAX(E$8:E$52)</f>
        <v>10</v>
      </c>
      <c r="F53" s="10">
        <f>MAX(F$8:F$52)</f>
        <v>10</v>
      </c>
      <c r="G53" s="10">
        <f>MAX(G$8:G$52)</f>
        <v>8.5</v>
      </c>
      <c r="H53" s="10">
        <f>MAX(H$8:H$52)</f>
        <v>10</v>
      </c>
      <c r="I53" s="10">
        <f>MAX(I$8:I$52)</f>
        <v>58.5</v>
      </c>
      <c r="J53" s="10">
        <f>MAX(J$8:J$52)</f>
        <v>9.75</v>
      </c>
      <c r="K53" s="10">
        <f>MAX(K$8:K$52)</f>
        <v>8.5</v>
      </c>
      <c r="L53" s="4"/>
      <c r="M53" s="4"/>
      <c r="N53" s="4"/>
    </row>
    <row r="54" spans="1:14" ht="15" thickTop="1" x14ac:dyDescent="0.35"/>
  </sheetData>
  <mergeCells count="2">
    <mergeCell ref="A53:B53"/>
    <mergeCell ref="A1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2025-11-30T04:20:07Z</dcterms:created>
  <dcterms:modified xsi:type="dcterms:W3CDTF">2025-11-30T04:45:53Z</dcterms:modified>
</cp:coreProperties>
</file>